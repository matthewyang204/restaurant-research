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weighted_peak_counts" sheetId="1" state="visible" r:id="rId3"/>
  </sheets>
  <definedNames>
    <definedName function="false" hidden="true" name="_xlchart.v1.0" vbProcedure="false">unweighted_peak_counts!$F$1</definedName>
    <definedName function="false" hidden="true" name="_xlchart.v1.1" vbProcedure="false">unweighted_peak_counts!$F$2:$F$29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<sst xmlns="http://schemas.openxmlformats.org/spreadsheetml/2006/main" count="124" uniqueCount="74">
  <si>
    <t xml:space="preserve">index</t>
  </si>
  <si>
    <t xml:space="preserve">name</t>
  </si>
  <si>
    <t xml:space="preserve">address</t>
  </si>
  <si>
    <t xml:space="preserve">inspection_records</t>
  </si>
  <si>
    <t xml:space="preserve">peak_date</t>
  </si>
  <si>
    <t xml:space="preserve">peak_violation_count</t>
  </si>
  <si>
    <t xml:space="preserve">coverage</t>
  </si>
  <si>
    <t xml:space="preserve">source</t>
  </si>
  <si>
    <t xml:space="preserve">Chinatown Restaurant</t>
  </si>
  <si>
    <t xml:space="preserve">744 Washington St, San Francisco, CA</t>
  </si>
  <si>
    <t xml:space="preserve">matched</t>
  </si>
  <si>
    <t xml:space="preserve">DataSF</t>
  </si>
  <si>
    <t xml:space="preserve">Chong Qing Xiao Mian</t>
  </si>
  <si>
    <t xml:space="preserve">915 Kearny St, San Francisco, CA</t>
  </si>
  <si>
    <t xml:space="preserve">Z &amp; Y Peking Duck</t>
  </si>
  <si>
    <t xml:space="preserve">606 Jackson St, San Francisco, CA</t>
  </si>
  <si>
    <t xml:space="preserve">Z &amp; Y Restaurant</t>
  </si>
  <si>
    <t xml:space="preserve">655 Jackson St, San Francisco, CA</t>
  </si>
  <si>
    <t xml:space="preserve">R &amp; G Lounge</t>
  </si>
  <si>
    <t xml:space="preserve">631 Kearny St, San Francisco, CA</t>
  </si>
  <si>
    <t xml:space="preserve">no matching inspection record found</t>
  </si>
  <si>
    <t xml:space="preserve">no matching record</t>
  </si>
  <si>
    <t xml:space="preserve">Henry‚Äôs Hunan Restaurant</t>
  </si>
  <si>
    <t xml:space="preserve">110 Natoma St, San Francisco, CA</t>
  </si>
  <si>
    <t xml:space="preserve">Bamboo Restaurant</t>
  </si>
  <si>
    <t xml:space="preserve">1441 Polk St, San Francisco, CA</t>
  </si>
  <si>
    <t xml:space="preserve">Sam Wo Restaurant</t>
  </si>
  <si>
    <t xml:space="preserve">713 Clay St, San Francisco, CA</t>
  </si>
  <si>
    <t xml:space="preserve">Imperial Palace</t>
  </si>
  <si>
    <t xml:space="preserve">818 Washington St, San Francisco, CA</t>
  </si>
  <si>
    <t xml:space="preserve">City Chopsticks</t>
  </si>
  <si>
    <t xml:space="preserve">883 Bush St, San Francisco, CA</t>
  </si>
  <si>
    <t xml:space="preserve">Hunan House</t>
  </si>
  <si>
    <t xml:space="preserve">826 Washington St, San Francisco, CA</t>
  </si>
  <si>
    <t xml:space="preserve">Mister Jiu‚Äôs</t>
  </si>
  <si>
    <t xml:space="preserve">28 Waverly Pl, San Francisco, CA</t>
  </si>
  <si>
    <t xml:space="preserve">606 Broadway, San Francisco, CA</t>
  </si>
  <si>
    <t xml:space="preserve">China Live</t>
  </si>
  <si>
    <t xml:space="preserve">644 Broadway, San Francisco, CA</t>
  </si>
  <si>
    <t xml:space="preserve">Far East Cafe</t>
  </si>
  <si>
    <t xml:space="preserve">631 Grant Ave, San Francisco, CA</t>
  </si>
  <si>
    <t xml:space="preserve">Yank Sing</t>
  </si>
  <si>
    <t xml:space="preserve">49 Stevenson St, San Francisco, CA</t>
  </si>
  <si>
    <t xml:space="preserve">Spicy &amp; Cloud Restaurant</t>
  </si>
  <si>
    <t xml:space="preserve">823 Clay St, San Francisco, CA</t>
  </si>
  <si>
    <t xml:space="preserve">Bow Hon Restaurant</t>
  </si>
  <si>
    <t xml:space="preserve">850 Grant Ave, San Francisco, CA</t>
  </si>
  <si>
    <t xml:space="preserve">Amazing Kitchen</t>
  </si>
  <si>
    <t xml:space="preserve">101 Cyril Magnin St, San Francisco, CA</t>
  </si>
  <si>
    <t xml:space="preserve">Fang</t>
  </si>
  <si>
    <t xml:space="preserve">660 Howard St, San Francisco, CA</t>
  </si>
  <si>
    <t xml:space="preserve">House of Nanking</t>
  </si>
  <si>
    <t xml:space="preserve">919 Kearny St, San Francisco, CA</t>
  </si>
  <si>
    <t xml:space="preserve">Eight Tables by George Chen</t>
  </si>
  <si>
    <t xml:space="preserve">8 Kenneth Rexroth Pl, San Francisco, CA</t>
  </si>
  <si>
    <t xml:space="preserve">Golden Kim Tar</t>
  </si>
  <si>
    <t xml:space="preserve">434 Larkin St, San Francisco, CA</t>
  </si>
  <si>
    <t xml:space="preserve">Hunan Empire Restaurant</t>
  </si>
  <si>
    <t xml:space="preserve">2001 Union St, San Francisco, CA</t>
  </si>
  <si>
    <t xml:space="preserve">San Wang Restaurant</t>
  </si>
  <si>
    <t xml:space="preserve">1682 Post St, San Francisco, CA</t>
  </si>
  <si>
    <t xml:space="preserve">Tsing Tao Restaurant</t>
  </si>
  <si>
    <t xml:space="preserve">1117 Fillmore St, San Francisco, CA</t>
  </si>
  <si>
    <t xml:space="preserve">Harborview Restaurant &amp; Bar</t>
  </si>
  <si>
    <t xml:space="preserve">San Francisco, CA</t>
  </si>
  <si>
    <t xml:space="preserve">example</t>
  </si>
  <si>
    <t xml:space="preserve">Grant Place Restaurant (example)</t>
  </si>
  <si>
    <t xml:space="preserve">737 Washington St, San Francisco, CA 94108</t>
  </si>
  <si>
    <t xml:space="preserve">example included for comparison</t>
  </si>
  <si>
    <t xml:space="preserve">example.txt and WhatNow articles</t>
  </si>
  <si>
    <t xml:space="preserve">mean</t>
  </si>
  <si>
    <t xml:space="preserve">median</t>
  </si>
  <si>
    <t xml:space="preserve">mode</t>
  </si>
  <si>
    <t xml:space="preserve">range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</si>
</sst>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peak_violation_count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08890549122152"/>
          <c:y val="0.180896478121665"/>
          <c:w val="0.890268957788569"/>
          <c:h val="0.721184631803629"/>
        </c:manualLayout>
      </c:layout>
      <c:scatterChart>
        <c:scatterStyle val="lineMarker"/>
        <c:varyColors val="0"/>
        <c:ser>
          <c:idx val="0"/>
          <c:order val="0"/>
          <c:tx>
            <c:strRef>
              <c:f>unweighted_peak_counts!$F$1</c:f>
              <c:strCache>
                <c:ptCount val="1"/>
                <c:pt idx="0">
                  <c:v>peak_violation_count</c:v>
                </c:pt>
              </c:strCache>
            </c:strRef>
          </c:tx>
          <c:spPr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unweighted_peak_counts!$F$2:$F$29</c:f>
              <c:numCache>
                <c:formatCode>General</c:formatCode>
                <c:ptCount val="28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8</c:v>
                </c:pt>
                <c:pt idx="11">
                  <c:v>10</c:v>
                </c:pt>
                <c:pt idx="12">
                  <c:v>2</c:v>
                </c:pt>
                <c:pt idx="13">
                  <c:v>11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2">
                  <c:v>4</c:v>
                </c:pt>
                <c:pt idx="23">
                  <c:v>1</c:v>
                </c:pt>
                <c:pt idx="25">
                  <c:v>5</c:v>
                </c:pt>
                <c:pt idx="26">
                  <c:v>13</c:v>
                </c:pt>
                <c:pt idx="27">
                  <c:v>8</c:v>
                </c:pt>
              </c:numCache>
            </c:numRef>
          </c:yVal>
          <c:smooth val="0"/>
        </c:ser>
        <c:axId val="59749863"/>
        <c:axId val="61881016"/>
      </c:scatterChart>
      <c:valAx>
        <c:axId val="59749863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61881016"/>
        <c:crosses val="autoZero"/>
        <c:crossBetween val="midCat"/>
      </c:valAx>
      <c:valAx>
        <c:axId val="6188101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974986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683640</xdr:colOff>
      <xdr:row>1</xdr:row>
      <xdr:rowOff>177840</xdr:rowOff>
    </xdr:from>
    <xdr:to>
      <xdr:col>15</xdr:col>
      <xdr:colOff>431280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13559040" y="378000"/>
        <a:ext cx="385452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2" colorId="64" zoomScale="130" zoomScaleNormal="130" zoomScalePageLayoutView="100" workbookViewId="0">
      <selection pane="topLeft" activeCell="D34" activeCellId="0" sqref="D34"/>
    </sheetView>
  </sheetViews>
  <sheetFormatPr defaultColWidth="10.3671875" defaultRowHeight="15.75" customHeight="false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47.5"/>
    <col collapsed="false" customWidth="true" hidden="false" outlineLevel="0" max="3" min="3" style="0" width="34"/>
    <col collapsed="false" customWidth="true" hidden="false" outlineLevel="0" max="4" min="4" style="0" width="38.34"/>
    <col collapsed="false" customWidth="true" hidden="false" outlineLevel="0" max="6" min="6" style="0" width="25.16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.75" hidden="false" customHeight="false" outlineLevel="0" collapsed="false">
      <c r="A2" s="0" t="n">
        <v>1</v>
      </c>
      <c r="B2" s="0" t="s">
        <v>8</v>
      </c>
      <c r="C2" s="0" t="s">
        <v>9</v>
      </c>
      <c r="D2" s="0" t="n">
        <v>1</v>
      </c>
      <c r="E2" s="1" t="n">
        <v>45754</v>
      </c>
      <c r="F2" s="0" t="n">
        <v>10</v>
      </c>
      <c r="G2" s="0" t="s">
        <v>10</v>
      </c>
      <c r="H2" s="0" t="s">
        <v>11</v>
      </c>
    </row>
    <row r="3" customFormat="false" ht="15.75" hidden="false" customHeight="false" outlineLevel="0" collapsed="false">
      <c r="A3" s="0" t="n">
        <v>2</v>
      </c>
      <c r="B3" s="0" t="s">
        <v>12</v>
      </c>
      <c r="C3" s="0" t="s">
        <v>13</v>
      </c>
      <c r="D3" s="0" t="n">
        <v>4</v>
      </c>
      <c r="E3" s="1" t="n">
        <v>45799</v>
      </c>
      <c r="F3" s="0" t="n">
        <v>9</v>
      </c>
      <c r="G3" s="0" t="s">
        <v>10</v>
      </c>
      <c r="H3" s="0" t="s">
        <v>11</v>
      </c>
    </row>
    <row r="4" customFormat="false" ht="15.75" hidden="false" customHeight="false" outlineLevel="0" collapsed="false">
      <c r="A4" s="0" t="n">
        <v>3</v>
      </c>
      <c r="B4" s="0" t="s">
        <v>14</v>
      </c>
      <c r="C4" s="0" t="s">
        <v>15</v>
      </c>
      <c r="D4" s="0" t="n">
        <v>5</v>
      </c>
      <c r="E4" s="1" t="n">
        <v>46027</v>
      </c>
      <c r="F4" s="0" t="n">
        <v>7</v>
      </c>
      <c r="G4" s="0" t="s">
        <v>10</v>
      </c>
      <c r="H4" s="0" t="s">
        <v>11</v>
      </c>
    </row>
    <row r="5" customFormat="false" ht="15.75" hidden="false" customHeight="false" outlineLevel="0" collapsed="false">
      <c r="A5" s="0" t="n">
        <v>4</v>
      </c>
      <c r="B5" s="0" t="s">
        <v>16</v>
      </c>
      <c r="C5" s="0" t="s">
        <v>17</v>
      </c>
      <c r="D5" s="0" t="n">
        <v>1</v>
      </c>
      <c r="E5" s="1" t="n">
        <v>46223</v>
      </c>
      <c r="F5" s="0" t="n">
        <v>9</v>
      </c>
      <c r="G5" s="0" t="s">
        <v>10</v>
      </c>
      <c r="H5" s="0" t="s">
        <v>11</v>
      </c>
    </row>
    <row r="6" customFormat="false" ht="15.75" hidden="false" customHeight="false" outlineLevel="0" collapsed="false">
      <c r="A6" s="0" t="n">
        <v>5</v>
      </c>
      <c r="B6" s="0" t="s">
        <v>18</v>
      </c>
      <c r="C6" s="0" t="s">
        <v>19</v>
      </c>
      <c r="D6" s="0" t="n">
        <v>0</v>
      </c>
      <c r="G6" s="0" t="s">
        <v>20</v>
      </c>
      <c r="H6" s="0" t="s">
        <v>21</v>
      </c>
    </row>
    <row r="7" customFormat="false" ht="15.75" hidden="false" customHeight="false" outlineLevel="0" collapsed="false">
      <c r="A7" s="0" t="n">
        <v>6</v>
      </c>
      <c r="B7" s="0" t="s">
        <v>22</v>
      </c>
      <c r="C7" s="0" t="s">
        <v>23</v>
      </c>
      <c r="D7" s="0" t="n">
        <v>4</v>
      </c>
      <c r="E7" s="1" t="n">
        <v>46142</v>
      </c>
      <c r="F7" s="0" t="n">
        <v>7</v>
      </c>
      <c r="G7" s="0" t="s">
        <v>10</v>
      </c>
      <c r="H7" s="0" t="s">
        <v>11</v>
      </c>
    </row>
    <row r="8" customFormat="false" ht="15.75" hidden="false" customHeight="false" outlineLevel="0" collapsed="false">
      <c r="A8" s="0" t="n">
        <v>7</v>
      </c>
      <c r="B8" s="0" t="s">
        <v>24</v>
      </c>
      <c r="C8" s="0" t="s">
        <v>25</v>
      </c>
      <c r="D8" s="0" t="n">
        <v>2</v>
      </c>
      <c r="E8" s="1" t="n">
        <v>45673</v>
      </c>
      <c r="F8" s="0" t="n">
        <v>10</v>
      </c>
      <c r="G8" s="0" t="s">
        <v>10</v>
      </c>
      <c r="H8" s="0" t="s">
        <v>11</v>
      </c>
    </row>
    <row r="9" customFormat="false" ht="15.75" hidden="false" customHeight="false" outlineLevel="0" collapsed="false">
      <c r="A9" s="0" t="n">
        <v>8</v>
      </c>
      <c r="B9" s="0" t="s">
        <v>26</v>
      </c>
      <c r="C9" s="0" t="s">
        <v>27</v>
      </c>
      <c r="D9" s="0" t="n">
        <v>2</v>
      </c>
      <c r="E9" s="1" t="n">
        <v>45817</v>
      </c>
      <c r="F9" s="0" t="n">
        <v>8</v>
      </c>
      <c r="G9" s="0" t="s">
        <v>10</v>
      </c>
      <c r="H9" s="0" t="s">
        <v>11</v>
      </c>
    </row>
    <row r="10" customFormat="false" ht="15.75" hidden="false" customHeight="false" outlineLevel="0" collapsed="false">
      <c r="A10" s="0" t="n">
        <v>9</v>
      </c>
      <c r="B10" s="0" t="s">
        <v>28</v>
      </c>
      <c r="C10" s="0" t="s">
        <v>29</v>
      </c>
      <c r="D10" s="0" t="n">
        <v>3</v>
      </c>
      <c r="E10" s="1" t="n">
        <v>45740</v>
      </c>
      <c r="F10" s="0" t="n">
        <v>6</v>
      </c>
      <c r="G10" s="0" t="s">
        <v>10</v>
      </c>
      <c r="H10" s="0" t="s">
        <v>11</v>
      </c>
    </row>
    <row r="11" customFormat="false" ht="15.75" hidden="false" customHeight="false" outlineLevel="0" collapsed="false">
      <c r="A11" s="0" t="n">
        <v>10</v>
      </c>
      <c r="B11" s="0" t="s">
        <v>30</v>
      </c>
      <c r="C11" s="0" t="s">
        <v>31</v>
      </c>
      <c r="D11" s="0" t="n">
        <v>3</v>
      </c>
      <c r="E11" s="1" t="n">
        <v>45832</v>
      </c>
      <c r="F11" s="0" t="n">
        <v>4</v>
      </c>
      <c r="G11" s="0" t="s">
        <v>10</v>
      </c>
      <c r="H11" s="0" t="s">
        <v>11</v>
      </c>
    </row>
    <row r="12" customFormat="false" ht="15.75" hidden="false" customHeight="false" outlineLevel="0" collapsed="false">
      <c r="A12" s="0" t="n">
        <v>11</v>
      </c>
      <c r="B12" s="0" t="s">
        <v>32</v>
      </c>
      <c r="C12" s="0" t="s">
        <v>33</v>
      </c>
      <c r="D12" s="0" t="n">
        <v>2</v>
      </c>
      <c r="E12" s="1" t="n">
        <v>46189</v>
      </c>
      <c r="F12" s="0" t="n">
        <v>8</v>
      </c>
      <c r="G12" s="0" t="s">
        <v>10</v>
      </c>
      <c r="H12" s="0" t="s">
        <v>11</v>
      </c>
    </row>
    <row r="13" customFormat="false" ht="15.75" hidden="false" customHeight="false" outlineLevel="0" collapsed="false">
      <c r="A13" s="0" t="n">
        <v>12</v>
      </c>
      <c r="B13" s="0" t="s">
        <v>34</v>
      </c>
      <c r="C13" s="0" t="s">
        <v>35</v>
      </c>
      <c r="D13" s="0" t="n">
        <v>3</v>
      </c>
      <c r="E13" s="1" t="n">
        <v>45904</v>
      </c>
      <c r="F13" s="0" t="n">
        <v>10</v>
      </c>
      <c r="G13" s="0" t="s">
        <v>10</v>
      </c>
      <c r="H13" s="0" t="s">
        <v>11</v>
      </c>
    </row>
    <row r="14" customFormat="false" ht="15.75" hidden="false" customHeight="false" outlineLevel="0" collapsed="false">
      <c r="A14" s="0" t="n">
        <v>13</v>
      </c>
      <c r="B14" s="0" t="n">
        <v>606</v>
      </c>
      <c r="C14" s="0" t="s">
        <v>36</v>
      </c>
      <c r="D14" s="0" t="n">
        <v>1</v>
      </c>
      <c r="E14" s="1" t="n">
        <v>45903</v>
      </c>
      <c r="F14" s="0" t="n">
        <v>2</v>
      </c>
      <c r="G14" s="0" t="s">
        <v>10</v>
      </c>
      <c r="H14" s="0" t="s">
        <v>11</v>
      </c>
    </row>
    <row r="15" customFormat="false" ht="15.75" hidden="false" customHeight="false" outlineLevel="0" collapsed="false">
      <c r="A15" s="0" t="n">
        <v>14</v>
      </c>
      <c r="B15" s="0" t="s">
        <v>37</v>
      </c>
      <c r="C15" s="0" t="s">
        <v>38</v>
      </c>
      <c r="D15" s="0" t="n">
        <v>11</v>
      </c>
      <c r="E15" s="1" t="n">
        <v>45820</v>
      </c>
      <c r="F15" s="0" t="n">
        <v>11</v>
      </c>
      <c r="G15" s="0" t="s">
        <v>10</v>
      </c>
      <c r="H15" s="0" t="s">
        <v>11</v>
      </c>
    </row>
    <row r="16" customFormat="false" ht="15.75" hidden="false" customHeight="false" outlineLevel="0" collapsed="false">
      <c r="A16" s="0" t="n">
        <v>15</v>
      </c>
      <c r="B16" s="0" t="s">
        <v>39</v>
      </c>
      <c r="C16" s="0" t="s">
        <v>40</v>
      </c>
      <c r="D16" s="0" t="n">
        <v>2</v>
      </c>
      <c r="E16" s="1" t="n">
        <v>45750</v>
      </c>
      <c r="F16" s="0" t="n">
        <v>4</v>
      </c>
      <c r="G16" s="0" t="s">
        <v>10</v>
      </c>
      <c r="H16" s="0" t="s">
        <v>11</v>
      </c>
    </row>
    <row r="17" customFormat="false" ht="15.75" hidden="false" customHeight="false" outlineLevel="0" collapsed="false">
      <c r="A17" s="0" t="n">
        <v>16</v>
      </c>
      <c r="B17" s="0" t="s">
        <v>41</v>
      </c>
      <c r="C17" s="0" t="s">
        <v>42</v>
      </c>
      <c r="D17" s="0" t="n">
        <v>1</v>
      </c>
      <c r="E17" s="1" t="n">
        <v>46273</v>
      </c>
      <c r="F17" s="0" t="n">
        <v>1</v>
      </c>
      <c r="G17" s="0" t="s">
        <v>10</v>
      </c>
      <c r="H17" s="0" t="s">
        <v>11</v>
      </c>
    </row>
    <row r="18" customFormat="false" ht="15.75" hidden="false" customHeight="false" outlineLevel="0" collapsed="false">
      <c r="A18" s="0" t="n">
        <v>17</v>
      </c>
      <c r="B18" s="0" t="s">
        <v>43</v>
      </c>
      <c r="C18" s="0" t="s">
        <v>44</v>
      </c>
      <c r="D18" s="0" t="n">
        <v>3</v>
      </c>
      <c r="E18" s="1" t="n">
        <v>45762</v>
      </c>
      <c r="F18" s="0" t="n">
        <v>0</v>
      </c>
      <c r="G18" s="0" t="s">
        <v>10</v>
      </c>
      <c r="H18" s="0" t="s">
        <v>11</v>
      </c>
    </row>
    <row r="19" customFormat="false" ht="15.75" hidden="false" customHeight="false" outlineLevel="0" collapsed="false">
      <c r="A19" s="0" t="n">
        <v>18</v>
      </c>
      <c r="B19" s="0" t="s">
        <v>45</v>
      </c>
      <c r="C19" s="0" t="s">
        <v>46</v>
      </c>
      <c r="D19" s="0" t="n">
        <v>1</v>
      </c>
      <c r="E19" s="1" t="n">
        <v>45805</v>
      </c>
      <c r="F19" s="0" t="n">
        <v>8</v>
      </c>
      <c r="G19" s="0" t="s">
        <v>10</v>
      </c>
      <c r="H19" s="0" t="s">
        <v>11</v>
      </c>
    </row>
    <row r="20" customFormat="false" ht="15.75" hidden="false" customHeight="false" outlineLevel="0" collapsed="false">
      <c r="A20" s="0" t="n">
        <v>19</v>
      </c>
      <c r="B20" s="0" t="s">
        <v>47</v>
      </c>
      <c r="C20" s="0" t="s">
        <v>48</v>
      </c>
      <c r="D20" s="0" t="n">
        <v>3</v>
      </c>
      <c r="E20" s="1" t="n">
        <v>46030</v>
      </c>
      <c r="F20" s="0" t="n">
        <v>7</v>
      </c>
      <c r="G20" s="0" t="s">
        <v>10</v>
      </c>
      <c r="H20" s="0" t="s">
        <v>11</v>
      </c>
    </row>
    <row r="21" customFormat="false" ht="15.75" hidden="false" customHeight="false" outlineLevel="0" collapsed="false">
      <c r="A21" s="0" t="n">
        <v>20</v>
      </c>
      <c r="B21" s="0" t="s">
        <v>49</v>
      </c>
      <c r="C21" s="0" t="s">
        <v>50</v>
      </c>
      <c r="D21" s="0" t="n">
        <v>3</v>
      </c>
      <c r="E21" s="1" t="n">
        <v>45713</v>
      </c>
      <c r="F21" s="0" t="n">
        <v>6</v>
      </c>
      <c r="G21" s="0" t="s">
        <v>10</v>
      </c>
      <c r="H21" s="0" t="s">
        <v>11</v>
      </c>
    </row>
    <row r="22" customFormat="false" ht="15.75" hidden="false" customHeight="false" outlineLevel="0" collapsed="false">
      <c r="A22" s="0" t="n">
        <v>21</v>
      </c>
      <c r="B22" s="0" t="s">
        <v>51</v>
      </c>
      <c r="C22" s="0" t="s">
        <v>52</v>
      </c>
      <c r="D22" s="0" t="n">
        <v>2</v>
      </c>
      <c r="E22" s="1" t="n">
        <v>45817</v>
      </c>
      <c r="F22" s="0" t="n">
        <v>5</v>
      </c>
      <c r="G22" s="0" t="s">
        <v>10</v>
      </c>
      <c r="H22" s="0" t="s">
        <v>11</v>
      </c>
    </row>
    <row r="23" customFormat="false" ht="15.75" hidden="false" customHeight="false" outlineLevel="0" collapsed="false">
      <c r="A23" s="0" t="n">
        <v>22</v>
      </c>
      <c r="B23" s="0" t="s">
        <v>53</v>
      </c>
      <c r="C23" s="0" t="s">
        <v>54</v>
      </c>
      <c r="D23" s="0" t="n">
        <v>0</v>
      </c>
      <c r="G23" s="0" t="s">
        <v>20</v>
      </c>
      <c r="H23" s="0" t="s">
        <v>21</v>
      </c>
    </row>
    <row r="24" customFormat="false" ht="15.75" hidden="false" customHeight="false" outlineLevel="0" collapsed="false">
      <c r="A24" s="0" t="n">
        <v>23</v>
      </c>
      <c r="B24" s="0" t="s">
        <v>55</v>
      </c>
      <c r="C24" s="0" t="s">
        <v>56</v>
      </c>
      <c r="D24" s="0" t="n">
        <v>2</v>
      </c>
      <c r="E24" s="1" t="n">
        <v>45695</v>
      </c>
      <c r="F24" s="0" t="n">
        <v>4</v>
      </c>
      <c r="G24" s="0" t="s">
        <v>10</v>
      </c>
      <c r="H24" s="0" t="s">
        <v>11</v>
      </c>
    </row>
    <row r="25" customFormat="false" ht="15.75" hidden="false" customHeight="false" outlineLevel="0" collapsed="false">
      <c r="A25" s="0" t="n">
        <v>24</v>
      </c>
      <c r="B25" s="0" t="s">
        <v>57</v>
      </c>
      <c r="C25" s="0" t="s">
        <v>58</v>
      </c>
      <c r="D25" s="0" t="n">
        <v>1</v>
      </c>
      <c r="E25" s="1" t="n">
        <v>45670</v>
      </c>
      <c r="F25" s="0" t="n">
        <v>1</v>
      </c>
      <c r="G25" s="0" t="s">
        <v>10</v>
      </c>
      <c r="H25" s="0" t="s">
        <v>11</v>
      </c>
    </row>
    <row r="26" customFormat="false" ht="15.75" hidden="false" customHeight="false" outlineLevel="0" collapsed="false">
      <c r="A26" s="0" t="n">
        <v>25</v>
      </c>
      <c r="B26" s="0" t="s">
        <v>59</v>
      </c>
      <c r="C26" s="0" t="s">
        <v>60</v>
      </c>
      <c r="D26" s="0" t="n">
        <v>0</v>
      </c>
      <c r="G26" s="0" t="s">
        <v>20</v>
      </c>
      <c r="H26" s="0" t="s">
        <v>21</v>
      </c>
    </row>
    <row r="27" customFormat="false" ht="15.75" hidden="false" customHeight="false" outlineLevel="0" collapsed="false">
      <c r="A27" s="0" t="n">
        <v>26</v>
      </c>
      <c r="B27" s="0" t="s">
        <v>61</v>
      </c>
      <c r="C27" s="0" t="s">
        <v>62</v>
      </c>
      <c r="D27" s="0" t="n">
        <v>3</v>
      </c>
      <c r="E27" s="1" t="n">
        <v>45751</v>
      </c>
      <c r="F27" s="0" t="n">
        <v>5</v>
      </c>
      <c r="G27" s="0" t="s">
        <v>10</v>
      </c>
      <c r="H27" s="0" t="s">
        <v>11</v>
      </c>
    </row>
    <row r="28" customFormat="false" ht="15.75" hidden="false" customHeight="false" outlineLevel="0" collapsed="false">
      <c r="A28" s="0" t="n">
        <v>27</v>
      </c>
      <c r="B28" s="0" t="s">
        <v>63</v>
      </c>
      <c r="C28" s="0" t="s">
        <v>64</v>
      </c>
      <c r="D28" s="0" t="n">
        <v>3</v>
      </c>
      <c r="E28" s="1" t="n">
        <v>46135</v>
      </c>
      <c r="F28" s="0" t="n">
        <v>13</v>
      </c>
      <c r="G28" s="0" t="s">
        <v>10</v>
      </c>
      <c r="H28" s="0" t="s">
        <v>11</v>
      </c>
    </row>
    <row r="29" customFormat="false" ht="15.75" hidden="false" customHeight="false" outlineLevel="0" collapsed="false">
      <c r="A29" s="0" t="s">
        <v>65</v>
      </c>
      <c r="B29" s="0" t="s">
        <v>66</v>
      </c>
      <c r="C29" s="0" t="s">
        <v>67</v>
      </c>
      <c r="D29" s="0" t="n">
        <v>1</v>
      </c>
      <c r="E29" s="1" t="n">
        <v>45741</v>
      </c>
      <c r="F29" s="0" t="n">
        <v>8</v>
      </c>
      <c r="G29" s="0" t="s">
        <v>68</v>
      </c>
      <c r="H29" s="0" t="s">
        <v>69</v>
      </c>
    </row>
    <row r="30" customFormat="false" ht="15.75" hidden="false" customHeight="false" outlineLevel="0" collapsed="false">
      <c r="A30" s="0" t="s">
        <v>70</v>
      </c>
      <c r="D30" s="0" t="n">
        <f aca="false">AVERAGE(D2:D29)</f>
        <v>2.39285714285714</v>
      </c>
      <c r="F30" s="0" t="n">
        <f aca="false">AVERAGE(F2:F29)</f>
        <v>6.52</v>
      </c>
    </row>
    <row r="31" customFormat="false" ht="15.75" hidden="false" customHeight="false" outlineLevel="0" collapsed="false">
      <c r="A31" s="0" t="s">
        <v>71</v>
      </c>
      <c r="D31" s="0" t="n">
        <f aca="false">MEDIAN(D2:D29)</f>
        <v>2</v>
      </c>
      <c r="F31" s="0" t="n">
        <f aca="false">MEDIAN(F2:F28)</f>
        <v>7</v>
      </c>
    </row>
    <row r="32" customFormat="false" ht="15.75" hidden="false" customHeight="false" outlineLevel="0" collapsed="false">
      <c r="A32" s="0" t="s">
        <v>72</v>
      </c>
      <c r="D32" s="0" t="n">
        <f aca="false">MODE(D2:D29)</f>
        <v>3</v>
      </c>
      <c r="F32" s="0" t="n">
        <f aca="false">MODE(F2:F28)</f>
        <v>10</v>
      </c>
    </row>
    <row r="33" customFormat="false" ht="15.75" hidden="false" customHeight="false" outlineLevel="0" collapsed="false">
      <c r="A33" s="0" t="s">
        <v>73</v>
      </c>
      <c r="D33" s="0" t="n">
        <f aca="false">MAX(D2:D29)-MIN(D2:D29)</f>
        <v>11</v>
      </c>
      <c r="F33" s="0" t="n">
        <f aca="false">MAX(F2:F29)-MIN(F2:F29)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2026-10-29T01:08:15Z</dcterms:created>
  <dc:creator>Matthew Yang</dc:creator>
  <dc:description/>
  <dc:language>en-US</dc:language>
  <cp:lastModifiedBy>Matthew Yang</cp:lastModifiedBy>
  <dcterms:modified xsi:type="dcterms:W3CDTF">2026-10-29T07:53:43Z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