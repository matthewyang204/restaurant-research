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tthewyang/Documents/GitHub/restaurant-research/chinatown-chinese-oct2026/"/>
    </mc:Choice>
  </mc:AlternateContent>
  <xr:revisionPtr revIDLastSave="0" documentId="8_{9C6DF874-02B4-3746-9B74-DADF315A3E13}" xr6:coauthVersionLast="47" xr6:coauthVersionMax="47" xr10:uidLastSave="{00000000-0000-0000-0000-000000000000}"/>
  <bookViews>
    <workbookView xWindow="0" yWindow="600" windowWidth="34560" windowHeight="19760" xr2:uid="{7EE63591-E2F6-5545-B434-F8CBDEFC0F15}"/>
  </bookViews>
  <sheets>
    <sheet name="unweighted_peak_counts" sheetId="1" r:id="rId1"/>
  </sheets>
  <definedNames>
    <definedName name="_xlchart.v1.0" hidden="1">unweighted_peak_counts!$F$1</definedName>
    <definedName name="_xlchart.v1.1" hidden="1">unweighted_peak_counts!$F$2:$F$29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3" i="1" l="1"/>
  <c r="F31" i="1"/>
  <c r="F32" i="1"/>
  <c r="F30" i="1"/>
</calcChain>
</file>

<file path=xl/sharedStrings.xml><?xml version="1.0" encoding="utf-8"?>
<sst xmlns="http://schemas.openxmlformats.org/spreadsheetml/2006/main" count="125" uniqueCount="75">
  <si>
    <t>index</t>
  </si>
  <si>
    <t>name</t>
  </si>
  <si>
    <t>address</t>
  </si>
  <si>
    <t>inspection_records</t>
  </si>
  <si>
    <t>peak_date</t>
  </si>
  <si>
    <t>peak_violation_count</t>
  </si>
  <si>
    <t>coverage</t>
  </si>
  <si>
    <t>source</t>
  </si>
  <si>
    <t>Chinatown Restaurant</t>
  </si>
  <si>
    <t>744 Washington St, San Francisco, CA</t>
  </si>
  <si>
    <t>matched</t>
  </si>
  <si>
    <t>DataSF</t>
  </si>
  <si>
    <t>Chong Qing Xiao Mian</t>
  </si>
  <si>
    <t>915 Kearny St, San Francisco, CA</t>
  </si>
  <si>
    <t>Z &amp; Y Peking Duck</t>
  </si>
  <si>
    <t>606 Jackson St, San Francisco, CA</t>
  </si>
  <si>
    <t>Z &amp; Y Restaurant</t>
  </si>
  <si>
    <t>655 Jackson St, San Francisco, CA</t>
  </si>
  <si>
    <t>R &amp; G Lounge</t>
  </si>
  <si>
    <t>631 Kearny St, San Francisco, CA</t>
  </si>
  <si>
    <t>no matching inspection record found</t>
  </si>
  <si>
    <t>no matching record</t>
  </si>
  <si>
    <t>Henry‚Äôs Hunan Restaurant</t>
  </si>
  <si>
    <t>110 Natoma St, San Francisco, CA</t>
  </si>
  <si>
    <t>Bamboo Restaurant</t>
  </si>
  <si>
    <t>1441 Polk St, San Francisco, CA</t>
  </si>
  <si>
    <t>Sam Wo Restaurant</t>
  </si>
  <si>
    <t>713 Clay St, San Francisco, CA</t>
  </si>
  <si>
    <t>Imperial Palace</t>
  </si>
  <si>
    <t>818 Washington St, San Francisco, CA</t>
  </si>
  <si>
    <t>City Chopsticks</t>
  </si>
  <si>
    <t>883 Bush St, San Francisco, CA</t>
  </si>
  <si>
    <t>Hunan House</t>
  </si>
  <si>
    <t>826 Washington St, San Francisco, CA</t>
  </si>
  <si>
    <t>Mister Jiu‚Äôs</t>
  </si>
  <si>
    <t>28 Waverly Pl, San Francisco, CA</t>
  </si>
  <si>
    <t>606 Broadway, San Francisco, CA</t>
  </si>
  <si>
    <t>China Live</t>
  </si>
  <si>
    <t>644 Broadway, San Francisco, CA</t>
  </si>
  <si>
    <t>Far East Cafe</t>
  </si>
  <si>
    <t>631 Grant Ave, San Francisco, CA</t>
  </si>
  <si>
    <t>Yank Sing</t>
  </si>
  <si>
    <t>49 Stevenson St, San Francisco, CA</t>
  </si>
  <si>
    <t>Spicy &amp; Cloud Restaurant</t>
  </si>
  <si>
    <t>823 Clay St, San Francisco, CA</t>
  </si>
  <si>
    <t>Bow Hon Restaurant</t>
  </si>
  <si>
    <t>850 Grant Ave, San Francisco, CA</t>
  </si>
  <si>
    <t>Amazing Kitchen</t>
  </si>
  <si>
    <t>101 Cyril Magnin St, San Francisco, CA</t>
  </si>
  <si>
    <t>Fang</t>
  </si>
  <si>
    <t>660 Howard St, San Francisco, CA</t>
  </si>
  <si>
    <t>House of Nanking</t>
  </si>
  <si>
    <t>919 Kearny St, San Francisco, CA</t>
  </si>
  <si>
    <t>Eight Tables by George Chen</t>
  </si>
  <si>
    <t>8 Kenneth Rexroth Pl, San Francisco, CA</t>
  </si>
  <si>
    <t>Golden Kim Tar</t>
  </si>
  <si>
    <t>434 Larkin St, San Francisco, CA</t>
  </si>
  <si>
    <t>Hunan Empire Restaurant</t>
  </si>
  <si>
    <t>2001 Union St, San Francisco, CA</t>
  </si>
  <si>
    <t>San Wang Restaurant</t>
  </si>
  <si>
    <t>1682 Post St, San Francisco, CA</t>
  </si>
  <si>
    <t>Tsing Tao Restaurant</t>
  </si>
  <si>
    <t>1117 Fillmore St, San Francisco, CA</t>
  </si>
  <si>
    <t>Harborview Restaurant &amp; Bar</t>
  </si>
  <si>
    <t>San Francisco, CA</t>
  </si>
  <si>
    <t>example</t>
  </si>
  <si>
    <t>Grant Place Restaurant (example)</t>
  </si>
  <si>
    <t>737 Washington St, San Francisco, CA 94108</t>
  </si>
  <si>
    <t>1 example inspection</t>
  </si>
  <si>
    <t>example included for comparison</t>
  </si>
  <si>
    <t>example.txt and WhatNow articles</t>
  </si>
  <si>
    <t>mean</t>
  </si>
  <si>
    <t>mode</t>
  </si>
  <si>
    <t>median</t>
  </si>
  <si>
    <t>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</si>
</sst>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0914260717410323E-2"/>
          <c:y val="0.18094925634295711"/>
          <c:w val="0.89030796150481195"/>
          <c:h val="0.72128098571011956"/>
        </c:manualLayout>
      </c:layout>
      <c:scatterChart>
        <c:scatterStyle val="lineMarker"/>
        <c:varyColors val="0"/>
        <c:ser>
          <c:idx val="0"/>
          <c:order val="0"/>
          <c:tx>
            <c:strRef>
              <c:f>unweighted_peak_counts!$F$1</c:f>
              <c:strCache>
                <c:ptCount val="1"/>
                <c:pt idx="0">
                  <c:v>peak_violation_count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unweighted_peak_counts!$F$2:$F$29</c:f>
              <c:numCache>
                <c:formatCode>General</c:formatCode>
                <c:ptCount val="28"/>
                <c:pt idx="0">
                  <c:v>10</c:v>
                </c:pt>
                <c:pt idx="1">
                  <c:v>9</c:v>
                </c:pt>
                <c:pt idx="2">
                  <c:v>7</c:v>
                </c:pt>
                <c:pt idx="3">
                  <c:v>9</c:v>
                </c:pt>
                <c:pt idx="5">
                  <c:v>7</c:v>
                </c:pt>
                <c:pt idx="6">
                  <c:v>10</c:v>
                </c:pt>
                <c:pt idx="7">
                  <c:v>8</c:v>
                </c:pt>
                <c:pt idx="8">
                  <c:v>6</c:v>
                </c:pt>
                <c:pt idx="9">
                  <c:v>4</c:v>
                </c:pt>
                <c:pt idx="10">
                  <c:v>8</c:v>
                </c:pt>
                <c:pt idx="11">
                  <c:v>10</c:v>
                </c:pt>
                <c:pt idx="12">
                  <c:v>2</c:v>
                </c:pt>
                <c:pt idx="13">
                  <c:v>11</c:v>
                </c:pt>
                <c:pt idx="14">
                  <c:v>4</c:v>
                </c:pt>
                <c:pt idx="15">
                  <c:v>1</c:v>
                </c:pt>
                <c:pt idx="16">
                  <c:v>0</c:v>
                </c:pt>
                <c:pt idx="17">
                  <c:v>8</c:v>
                </c:pt>
                <c:pt idx="18">
                  <c:v>7</c:v>
                </c:pt>
                <c:pt idx="19">
                  <c:v>6</c:v>
                </c:pt>
                <c:pt idx="20">
                  <c:v>5</c:v>
                </c:pt>
                <c:pt idx="22">
                  <c:v>4</c:v>
                </c:pt>
                <c:pt idx="23">
                  <c:v>1</c:v>
                </c:pt>
                <c:pt idx="25">
                  <c:v>5</c:v>
                </c:pt>
                <c:pt idx="26">
                  <c:v>13</c:v>
                </c:pt>
                <c:pt idx="27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EE-5C41-AA87-CD7A23D2C7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171711"/>
        <c:axId val="2103761024"/>
      </c:scatterChart>
      <c:valAx>
        <c:axId val="95171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3761024"/>
        <c:crosses val="autoZero"/>
        <c:crossBetween val="midCat"/>
      </c:valAx>
      <c:valAx>
        <c:axId val="210376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717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812800</xdr:colOff>
      <xdr:row>1</xdr:row>
      <xdr:rowOff>177800</xdr:rowOff>
    </xdr:from>
    <xdr:to>
      <xdr:col>15</xdr:col>
      <xdr:colOff>431800</xdr:colOff>
      <xdr:row>15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13F556-7BA6-E2EA-2E2B-0038324AD6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196A53-1F65-F844-AF95-AF9D917CBA79}">
  <dimension ref="A1:H33"/>
  <sheetViews>
    <sheetView tabSelected="1" topLeftCell="A6" zoomScale="130" zoomScaleNormal="130" workbookViewId="0">
      <selection activeCell="F34" sqref="F34"/>
    </sheetView>
  </sheetViews>
  <sheetFormatPr baseColWidth="10" defaultRowHeight="16" x14ac:dyDescent="0.2"/>
  <cols>
    <col min="1" max="1" width="8.5" customWidth="1"/>
    <col min="2" max="2" width="47.5" customWidth="1"/>
    <col min="3" max="3" width="34" customWidth="1"/>
    <col min="4" max="4" width="38.33203125" customWidth="1"/>
    <col min="6" max="6" width="25.1640625" customWidth="1"/>
  </cols>
  <sheetData>
    <row r="1" spans="1:8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">
      <c r="A2">
        <v>1</v>
      </c>
      <c r="B2" t="s">
        <v>8</v>
      </c>
      <c r="C2" t="s">
        <v>9</v>
      </c>
      <c r="D2">
        <v>1</v>
      </c>
      <c r="E2" s="1">
        <v>45754</v>
      </c>
      <c r="F2">
        <v>10</v>
      </c>
      <c r="G2" t="s">
        <v>10</v>
      </c>
      <c r="H2" t="s">
        <v>11</v>
      </c>
    </row>
    <row r="3" spans="1:8" x14ac:dyDescent="0.2">
      <c r="A3">
        <v>2</v>
      </c>
      <c r="B3" t="s">
        <v>12</v>
      </c>
      <c r="C3" t="s">
        <v>13</v>
      </c>
      <c r="D3">
        <v>4</v>
      </c>
      <c r="E3" s="1">
        <v>45799</v>
      </c>
      <c r="F3">
        <v>9</v>
      </c>
      <c r="G3" t="s">
        <v>10</v>
      </c>
      <c r="H3" t="s">
        <v>11</v>
      </c>
    </row>
    <row r="4" spans="1:8" x14ac:dyDescent="0.2">
      <c r="A4">
        <v>3</v>
      </c>
      <c r="B4" t="s">
        <v>14</v>
      </c>
      <c r="C4" t="s">
        <v>15</v>
      </c>
      <c r="D4">
        <v>5</v>
      </c>
      <c r="E4" s="1">
        <v>46027</v>
      </c>
      <c r="F4">
        <v>7</v>
      </c>
      <c r="G4" t="s">
        <v>10</v>
      </c>
      <c r="H4" t="s">
        <v>11</v>
      </c>
    </row>
    <row r="5" spans="1:8" x14ac:dyDescent="0.2">
      <c r="A5">
        <v>4</v>
      </c>
      <c r="B5" t="s">
        <v>16</v>
      </c>
      <c r="C5" t="s">
        <v>17</v>
      </c>
      <c r="D5">
        <v>1</v>
      </c>
      <c r="E5" s="1">
        <v>46223</v>
      </c>
      <c r="F5">
        <v>9</v>
      </c>
      <c r="G5" t="s">
        <v>10</v>
      </c>
      <c r="H5" t="s">
        <v>11</v>
      </c>
    </row>
    <row r="6" spans="1:8" x14ac:dyDescent="0.2">
      <c r="A6">
        <v>5</v>
      </c>
      <c r="B6" t="s">
        <v>18</v>
      </c>
      <c r="C6" t="s">
        <v>19</v>
      </c>
      <c r="D6">
        <v>0</v>
      </c>
      <c r="G6" t="s">
        <v>20</v>
      </c>
      <c r="H6" t="s">
        <v>21</v>
      </c>
    </row>
    <row r="7" spans="1:8" x14ac:dyDescent="0.2">
      <c r="A7">
        <v>6</v>
      </c>
      <c r="B7" t="s">
        <v>22</v>
      </c>
      <c r="C7" t="s">
        <v>23</v>
      </c>
      <c r="D7">
        <v>4</v>
      </c>
      <c r="E7" s="1">
        <v>46142</v>
      </c>
      <c r="F7">
        <v>7</v>
      </c>
      <c r="G7" t="s">
        <v>10</v>
      </c>
      <c r="H7" t="s">
        <v>11</v>
      </c>
    </row>
    <row r="8" spans="1:8" x14ac:dyDescent="0.2">
      <c r="A8">
        <v>7</v>
      </c>
      <c r="B8" t="s">
        <v>24</v>
      </c>
      <c r="C8" t="s">
        <v>25</v>
      </c>
      <c r="D8">
        <v>2</v>
      </c>
      <c r="E8" s="1">
        <v>45673</v>
      </c>
      <c r="F8">
        <v>10</v>
      </c>
      <c r="G8" t="s">
        <v>10</v>
      </c>
      <c r="H8" t="s">
        <v>11</v>
      </c>
    </row>
    <row r="9" spans="1:8" x14ac:dyDescent="0.2">
      <c r="A9">
        <v>8</v>
      </c>
      <c r="B9" t="s">
        <v>26</v>
      </c>
      <c r="C9" t="s">
        <v>27</v>
      </c>
      <c r="D9">
        <v>2</v>
      </c>
      <c r="E9" s="1">
        <v>45817</v>
      </c>
      <c r="F9">
        <v>8</v>
      </c>
      <c r="G9" t="s">
        <v>10</v>
      </c>
      <c r="H9" t="s">
        <v>11</v>
      </c>
    </row>
    <row r="10" spans="1:8" x14ac:dyDescent="0.2">
      <c r="A10">
        <v>9</v>
      </c>
      <c r="B10" t="s">
        <v>28</v>
      </c>
      <c r="C10" t="s">
        <v>29</v>
      </c>
      <c r="D10">
        <v>3</v>
      </c>
      <c r="E10" s="1">
        <v>45740</v>
      </c>
      <c r="F10">
        <v>6</v>
      </c>
      <c r="G10" t="s">
        <v>10</v>
      </c>
      <c r="H10" t="s">
        <v>11</v>
      </c>
    </row>
    <row r="11" spans="1:8" x14ac:dyDescent="0.2">
      <c r="A11">
        <v>10</v>
      </c>
      <c r="B11" t="s">
        <v>30</v>
      </c>
      <c r="C11" t="s">
        <v>31</v>
      </c>
      <c r="D11">
        <v>3</v>
      </c>
      <c r="E11" s="1">
        <v>45832</v>
      </c>
      <c r="F11">
        <v>4</v>
      </c>
      <c r="G11" t="s">
        <v>10</v>
      </c>
      <c r="H11" t="s">
        <v>11</v>
      </c>
    </row>
    <row r="12" spans="1:8" x14ac:dyDescent="0.2">
      <c r="A12">
        <v>11</v>
      </c>
      <c r="B12" t="s">
        <v>32</v>
      </c>
      <c r="C12" t="s">
        <v>33</v>
      </c>
      <c r="D12">
        <v>2</v>
      </c>
      <c r="E12" s="1">
        <v>46189</v>
      </c>
      <c r="F12">
        <v>8</v>
      </c>
      <c r="G12" t="s">
        <v>10</v>
      </c>
      <c r="H12" t="s">
        <v>11</v>
      </c>
    </row>
    <row r="13" spans="1:8" x14ac:dyDescent="0.2">
      <c r="A13">
        <v>12</v>
      </c>
      <c r="B13" t="s">
        <v>34</v>
      </c>
      <c r="C13" t="s">
        <v>35</v>
      </c>
      <c r="D13">
        <v>3</v>
      </c>
      <c r="E13" s="1">
        <v>45904</v>
      </c>
      <c r="F13">
        <v>10</v>
      </c>
      <c r="G13" t="s">
        <v>10</v>
      </c>
      <c r="H13" t="s">
        <v>11</v>
      </c>
    </row>
    <row r="14" spans="1:8" x14ac:dyDescent="0.2">
      <c r="A14">
        <v>13</v>
      </c>
      <c r="B14">
        <v>606</v>
      </c>
      <c r="C14" t="s">
        <v>36</v>
      </c>
      <c r="D14">
        <v>1</v>
      </c>
      <c r="E14" s="1">
        <v>45903</v>
      </c>
      <c r="F14">
        <v>2</v>
      </c>
      <c r="G14" t="s">
        <v>10</v>
      </c>
      <c r="H14" t="s">
        <v>11</v>
      </c>
    </row>
    <row r="15" spans="1:8" x14ac:dyDescent="0.2">
      <c r="A15">
        <v>14</v>
      </c>
      <c r="B15" t="s">
        <v>37</v>
      </c>
      <c r="C15" t="s">
        <v>38</v>
      </c>
      <c r="D15">
        <v>11</v>
      </c>
      <c r="E15" s="1">
        <v>45820</v>
      </c>
      <c r="F15">
        <v>11</v>
      </c>
      <c r="G15" t="s">
        <v>10</v>
      </c>
      <c r="H15" t="s">
        <v>11</v>
      </c>
    </row>
    <row r="16" spans="1:8" x14ac:dyDescent="0.2">
      <c r="A16">
        <v>15</v>
      </c>
      <c r="B16" t="s">
        <v>39</v>
      </c>
      <c r="C16" t="s">
        <v>40</v>
      </c>
      <c r="D16">
        <v>2</v>
      </c>
      <c r="E16" s="1">
        <v>45750</v>
      </c>
      <c r="F16">
        <v>4</v>
      </c>
      <c r="G16" t="s">
        <v>10</v>
      </c>
      <c r="H16" t="s">
        <v>11</v>
      </c>
    </row>
    <row r="17" spans="1:8" x14ac:dyDescent="0.2">
      <c r="A17">
        <v>16</v>
      </c>
      <c r="B17" t="s">
        <v>41</v>
      </c>
      <c r="C17" t="s">
        <v>42</v>
      </c>
      <c r="D17">
        <v>1</v>
      </c>
      <c r="E17" s="1">
        <v>46273</v>
      </c>
      <c r="F17">
        <v>1</v>
      </c>
      <c r="G17" t="s">
        <v>10</v>
      </c>
      <c r="H17" t="s">
        <v>11</v>
      </c>
    </row>
    <row r="18" spans="1:8" x14ac:dyDescent="0.2">
      <c r="A18">
        <v>17</v>
      </c>
      <c r="B18" t="s">
        <v>43</v>
      </c>
      <c r="C18" t="s">
        <v>44</v>
      </c>
      <c r="D18">
        <v>3</v>
      </c>
      <c r="E18" s="1">
        <v>45762</v>
      </c>
      <c r="F18">
        <v>0</v>
      </c>
      <c r="G18" t="s">
        <v>10</v>
      </c>
      <c r="H18" t="s">
        <v>11</v>
      </c>
    </row>
    <row r="19" spans="1:8" x14ac:dyDescent="0.2">
      <c r="A19">
        <v>18</v>
      </c>
      <c r="B19" t="s">
        <v>45</v>
      </c>
      <c r="C19" t="s">
        <v>46</v>
      </c>
      <c r="D19">
        <v>1</v>
      </c>
      <c r="E19" s="1">
        <v>45805</v>
      </c>
      <c r="F19">
        <v>8</v>
      </c>
      <c r="G19" t="s">
        <v>10</v>
      </c>
      <c r="H19" t="s">
        <v>11</v>
      </c>
    </row>
    <row r="20" spans="1:8" x14ac:dyDescent="0.2">
      <c r="A20">
        <v>19</v>
      </c>
      <c r="B20" t="s">
        <v>47</v>
      </c>
      <c r="C20" t="s">
        <v>48</v>
      </c>
      <c r="D20">
        <v>3</v>
      </c>
      <c r="E20" s="1">
        <v>46030</v>
      </c>
      <c r="F20">
        <v>7</v>
      </c>
      <c r="G20" t="s">
        <v>10</v>
      </c>
      <c r="H20" t="s">
        <v>11</v>
      </c>
    </row>
    <row r="21" spans="1:8" x14ac:dyDescent="0.2">
      <c r="A21">
        <v>20</v>
      </c>
      <c r="B21" t="s">
        <v>49</v>
      </c>
      <c r="C21" t="s">
        <v>50</v>
      </c>
      <c r="D21">
        <v>3</v>
      </c>
      <c r="E21" s="1">
        <v>45713</v>
      </c>
      <c r="F21">
        <v>6</v>
      </c>
      <c r="G21" t="s">
        <v>10</v>
      </c>
      <c r="H21" t="s">
        <v>11</v>
      </c>
    </row>
    <row r="22" spans="1:8" x14ac:dyDescent="0.2">
      <c r="A22">
        <v>21</v>
      </c>
      <c r="B22" t="s">
        <v>51</v>
      </c>
      <c r="C22" t="s">
        <v>52</v>
      </c>
      <c r="D22">
        <v>2</v>
      </c>
      <c r="E22" s="1">
        <v>45817</v>
      </c>
      <c r="F22">
        <v>5</v>
      </c>
      <c r="G22" t="s">
        <v>10</v>
      </c>
      <c r="H22" t="s">
        <v>11</v>
      </c>
    </row>
    <row r="23" spans="1:8" x14ac:dyDescent="0.2">
      <c r="A23">
        <v>22</v>
      </c>
      <c r="B23" t="s">
        <v>53</v>
      </c>
      <c r="C23" t="s">
        <v>54</v>
      </c>
      <c r="D23">
        <v>0</v>
      </c>
      <c r="G23" t="s">
        <v>20</v>
      </c>
      <c r="H23" t="s">
        <v>21</v>
      </c>
    </row>
    <row r="24" spans="1:8" x14ac:dyDescent="0.2">
      <c r="A24">
        <v>23</v>
      </c>
      <c r="B24" t="s">
        <v>55</v>
      </c>
      <c r="C24" t="s">
        <v>56</v>
      </c>
      <c r="D24">
        <v>2</v>
      </c>
      <c r="E24" s="1">
        <v>45695</v>
      </c>
      <c r="F24">
        <v>4</v>
      </c>
      <c r="G24" t="s">
        <v>10</v>
      </c>
      <c r="H24" t="s">
        <v>11</v>
      </c>
    </row>
    <row r="25" spans="1:8" x14ac:dyDescent="0.2">
      <c r="A25">
        <v>24</v>
      </c>
      <c r="B25" t="s">
        <v>57</v>
      </c>
      <c r="C25" t="s">
        <v>58</v>
      </c>
      <c r="D25">
        <v>1</v>
      </c>
      <c r="E25" s="1">
        <v>45670</v>
      </c>
      <c r="F25">
        <v>1</v>
      </c>
      <c r="G25" t="s">
        <v>10</v>
      </c>
      <c r="H25" t="s">
        <v>11</v>
      </c>
    </row>
    <row r="26" spans="1:8" x14ac:dyDescent="0.2">
      <c r="A26">
        <v>25</v>
      </c>
      <c r="B26" t="s">
        <v>59</v>
      </c>
      <c r="C26" t="s">
        <v>60</v>
      </c>
      <c r="D26">
        <v>0</v>
      </c>
      <c r="G26" t="s">
        <v>20</v>
      </c>
      <c r="H26" t="s">
        <v>21</v>
      </c>
    </row>
    <row r="27" spans="1:8" x14ac:dyDescent="0.2">
      <c r="A27">
        <v>26</v>
      </c>
      <c r="B27" t="s">
        <v>61</v>
      </c>
      <c r="C27" t="s">
        <v>62</v>
      </c>
      <c r="D27">
        <v>3</v>
      </c>
      <c r="E27" s="1">
        <v>45751</v>
      </c>
      <c r="F27">
        <v>5</v>
      </c>
      <c r="G27" t="s">
        <v>10</v>
      </c>
      <c r="H27" t="s">
        <v>11</v>
      </c>
    </row>
    <row r="28" spans="1:8" x14ac:dyDescent="0.2">
      <c r="A28">
        <v>27</v>
      </c>
      <c r="B28" t="s">
        <v>63</v>
      </c>
      <c r="C28" t="s">
        <v>64</v>
      </c>
      <c r="D28">
        <v>3</v>
      </c>
      <c r="E28" s="1">
        <v>46135</v>
      </c>
      <c r="F28">
        <v>13</v>
      </c>
      <c r="G28" t="s">
        <v>10</v>
      </c>
      <c r="H28" t="s">
        <v>11</v>
      </c>
    </row>
    <row r="29" spans="1:8" x14ac:dyDescent="0.2">
      <c r="A29" t="s">
        <v>65</v>
      </c>
      <c r="B29" t="s">
        <v>66</v>
      </c>
      <c r="C29" t="s">
        <v>67</v>
      </c>
      <c r="D29" t="s">
        <v>68</v>
      </c>
      <c r="E29" s="1">
        <v>45741</v>
      </c>
      <c r="F29">
        <v>8</v>
      </c>
      <c r="G29" t="s">
        <v>69</v>
      </c>
      <c r="H29" t="s">
        <v>70</v>
      </c>
    </row>
    <row r="30" spans="1:8" x14ac:dyDescent="0.2">
      <c r="A30" t="s">
        <v>71</v>
      </c>
      <c r="F30">
        <f>AVERAGE(F2:F29)</f>
        <v>6.52</v>
      </c>
    </row>
    <row r="31" spans="1:8" x14ac:dyDescent="0.2">
      <c r="A31" t="s">
        <v>73</v>
      </c>
      <c r="F31">
        <f>MEDIAN(F2:F28)</f>
        <v>7</v>
      </c>
    </row>
    <row r="32" spans="1:8" x14ac:dyDescent="0.2">
      <c r="A32" t="s">
        <v>72</v>
      </c>
      <c r="F32">
        <f>MODE(F2:F28)</f>
        <v>10</v>
      </c>
    </row>
    <row r="33" spans="1:6" x14ac:dyDescent="0.2">
      <c r="A33" t="s">
        <v>74</v>
      </c>
      <c r="F33">
        <f>MAX(F2:F29)-MIN(F2:F29)</f>
        <v>13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unweighted_peak_counts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Matthew Yang</dc:creator>
  <cp:lastModifiedBy>Matthew Yang</cp:lastModifiedBy>
  <dcterms:created xsi:type="dcterms:W3CDTF">2026-10-29T01:08:15Z</dcterms:created>
  <dcterms:modified xsi:type="dcterms:W3CDTF">2026-10-29T01:08:15Z</dcterms:modified>
</cp:coreProperties>
</file>