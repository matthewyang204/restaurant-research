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yang/Documents/GitHub/restaurant-research/chinatown-chinese-oct2026/"/>
    </mc:Choice>
  </mc:AlternateContent>
  <xr:revisionPtr revIDLastSave="0" documentId="8_{091A8556-7358-8642-9FD5-6030467F6B13}" xr6:coauthVersionLast="47" xr6:coauthVersionMax="47" xr10:uidLastSave="{00000000-0000-0000-0000-000000000000}"/>
  <bookViews>
    <workbookView xWindow="0" yWindow="600" windowWidth="34560" windowHeight="19740" xr2:uid="{978CD317-766D-E145-97E3-B716CC386146}"/>
  </bookViews>
  <sheets>
    <sheet name="peak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H32" i="1"/>
  <c r="H31" i="1"/>
  <c r="H30" i="1"/>
</calcChain>
</file>

<file path=xl/sharedStrings.xml><?xml version="1.0" encoding="utf-8"?>
<sst xmlns="http://schemas.openxmlformats.org/spreadsheetml/2006/main" count="148" uniqueCount="78">
  <si>
    <t>index</t>
  </si>
  <si>
    <t>name</t>
  </si>
  <si>
    <t>address</t>
  </si>
  <si>
    <t>peak_date</t>
  </si>
  <si>
    <t>peak_violation_count</t>
  </si>
  <si>
    <t>peak_severity</t>
  </si>
  <si>
    <t>severity_weight</t>
  </si>
  <si>
    <t>weighted_peak_count</t>
  </si>
  <si>
    <t>coverage</t>
  </si>
  <si>
    <t>source</t>
  </si>
  <si>
    <t>Chinatown Restaurant</t>
  </si>
  <si>
    <t>744 Washington St, San Francisco, CA</t>
  </si>
  <si>
    <t>High</t>
  </si>
  <si>
    <t>matched</t>
  </si>
  <si>
    <t>DataSF</t>
  </si>
  <si>
    <t>Chong Qing Xiao Mian</t>
  </si>
  <si>
    <t>915 Kearny St, San Francisco, CA</t>
  </si>
  <si>
    <t>Z &amp; Y Peking Duck</t>
  </si>
  <si>
    <t>606 Jackson St, San Francisco, CA</t>
  </si>
  <si>
    <t>Z &amp; Y Restaurant</t>
  </si>
  <si>
    <t>655 Jackson St, San Francisco, CA</t>
  </si>
  <si>
    <t>R &amp; G Lounge</t>
  </si>
  <si>
    <t>631 Kearny St, San Francisco, CA</t>
  </si>
  <si>
    <t>no matching record</t>
  </si>
  <si>
    <t>Henry‚Äôs Hunan Restaurant</t>
  </si>
  <si>
    <t>110 Natoma St, San Francisco, CA</t>
  </si>
  <si>
    <t>Bamboo Restaurant</t>
  </si>
  <si>
    <t>1441 Polk St, San Francisco, CA</t>
  </si>
  <si>
    <t>Sam Wo Restaurant</t>
  </si>
  <si>
    <t>713 Clay St, San Francisco, CA</t>
  </si>
  <si>
    <t>Imperial Palace</t>
  </si>
  <si>
    <t>818 Washington St, San Francisco, CA</t>
  </si>
  <si>
    <t>City Chopsticks</t>
  </si>
  <si>
    <t>883 Bush St, San Francisco, CA</t>
  </si>
  <si>
    <t>Hunan House</t>
  </si>
  <si>
    <t>826 Washington St, San Francisco, CA</t>
  </si>
  <si>
    <t>Mister Jiu‚Äôs</t>
  </si>
  <si>
    <t>28 Waverly Pl, San Francisco, CA</t>
  </si>
  <si>
    <t>606 Broadway, San Francisco, CA</t>
  </si>
  <si>
    <t>China Live</t>
  </si>
  <si>
    <t>644 Broadway, San Francisco, CA</t>
  </si>
  <si>
    <t>Far East Cafe</t>
  </si>
  <si>
    <t>631 Grant Ave, San Francisco, CA</t>
  </si>
  <si>
    <t>Yank Sing</t>
  </si>
  <si>
    <t>49 Stevenson St, San Francisco, CA</t>
  </si>
  <si>
    <t>Moderate</t>
  </si>
  <si>
    <t>Spicy &amp; Cloud Restaurant</t>
  </si>
  <si>
    <t>823 Clay St, San Francisco, CA</t>
  </si>
  <si>
    <t>Low</t>
  </si>
  <si>
    <t>Bow Hon Restaurant</t>
  </si>
  <si>
    <t>850 Grant Ave, San Francisco, CA</t>
  </si>
  <si>
    <t>Amazing Kitchen</t>
  </si>
  <si>
    <t>101 Cyril Magnin St, San Francisco, CA</t>
  </si>
  <si>
    <t>Fang</t>
  </si>
  <si>
    <t>660 Howard St, San Francisco, CA</t>
  </si>
  <si>
    <t>House of Nanking</t>
  </si>
  <si>
    <t>919 Kearny St, San Francisco, CA</t>
  </si>
  <si>
    <t>Eight Tables by George Chen</t>
  </si>
  <si>
    <t>8 Kenneth Rexroth Pl, San Francisco, CA</t>
  </si>
  <si>
    <t>Golden Kim Tar</t>
  </si>
  <si>
    <t>434 Larkin St, San Francisco, CA</t>
  </si>
  <si>
    <t>Hunan Empire Restaurant</t>
  </si>
  <si>
    <t>2001 Union St, San Francisco, CA</t>
  </si>
  <si>
    <t>San Wang Restaurant</t>
  </si>
  <si>
    <t>1682 Post St, San Francisco, CA</t>
  </si>
  <si>
    <t>Tsing Tao Restaurant</t>
  </si>
  <si>
    <t>1117 Fillmore St, San Francisco, CA</t>
  </si>
  <si>
    <t>Harborview Restaurant &amp; Bar</t>
  </si>
  <si>
    <t>San Francisco, CA</t>
  </si>
  <si>
    <t>example</t>
  </si>
  <si>
    <t>Grant Place Restaurant (example)</t>
  </si>
  <si>
    <t>737 Washington St, San Francisco, CA 94108</t>
  </si>
  <si>
    <t>example included</t>
  </si>
  <si>
    <t>example.txt and WhatNow articles</t>
  </si>
  <si>
    <t>mean</t>
  </si>
  <si>
    <t>median</t>
  </si>
  <si>
    <t>mode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</si>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</sst>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weighted_peak_counts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peak_counts!$H$2:$H$29</c:f>
              <c:numCache>
                <c:formatCode>General</c:formatCode>
                <c:ptCount val="28"/>
                <c:pt idx="0">
                  <c:v>30</c:v>
                </c:pt>
                <c:pt idx="1">
                  <c:v>27</c:v>
                </c:pt>
                <c:pt idx="2">
                  <c:v>21</c:v>
                </c:pt>
                <c:pt idx="3">
                  <c:v>27</c:v>
                </c:pt>
                <c:pt idx="5">
                  <c:v>21</c:v>
                </c:pt>
                <c:pt idx="6">
                  <c:v>30</c:v>
                </c:pt>
                <c:pt idx="7">
                  <c:v>24</c:v>
                </c:pt>
                <c:pt idx="8">
                  <c:v>18</c:v>
                </c:pt>
                <c:pt idx="9">
                  <c:v>12</c:v>
                </c:pt>
                <c:pt idx="10">
                  <c:v>24</c:v>
                </c:pt>
                <c:pt idx="11">
                  <c:v>30</c:v>
                </c:pt>
                <c:pt idx="12">
                  <c:v>6</c:v>
                </c:pt>
                <c:pt idx="13">
                  <c:v>33</c:v>
                </c:pt>
                <c:pt idx="14">
                  <c:v>12</c:v>
                </c:pt>
                <c:pt idx="15">
                  <c:v>2</c:v>
                </c:pt>
                <c:pt idx="16">
                  <c:v>0</c:v>
                </c:pt>
                <c:pt idx="17">
                  <c:v>24</c:v>
                </c:pt>
                <c:pt idx="18">
                  <c:v>21</c:v>
                </c:pt>
                <c:pt idx="19">
                  <c:v>18</c:v>
                </c:pt>
                <c:pt idx="20">
                  <c:v>15</c:v>
                </c:pt>
                <c:pt idx="22">
                  <c:v>12</c:v>
                </c:pt>
                <c:pt idx="23">
                  <c:v>3</c:v>
                </c:pt>
                <c:pt idx="25">
                  <c:v>15</c:v>
                </c:pt>
                <c:pt idx="26">
                  <c:v>39</c:v>
                </c:pt>
                <c:pt idx="27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F6-EA43-8F26-4DC8F86E1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491136"/>
        <c:axId val="1560492928"/>
      </c:scatterChart>
      <c:valAx>
        <c:axId val="156049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492928"/>
        <c:crosses val="autoZero"/>
        <c:crossBetween val="midCat"/>
      </c:valAx>
      <c:valAx>
        <c:axId val="156049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49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81898</xdr:colOff>
      <xdr:row>1</xdr:row>
      <xdr:rowOff>129848</xdr:rowOff>
    </xdr:from>
    <xdr:to>
      <xdr:col>16</xdr:col>
      <xdr:colOff>499692</xdr:colOff>
      <xdr:row>15</xdr:row>
      <xdr:rowOff>48188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2A9D1-69FE-2055-9F68-70280AF47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D7F4-D168-3042-B61C-08C80044110D}">
  <dimension ref="A1:J33"/>
  <sheetViews>
    <sheetView tabSelected="1" zoomScale="107" workbookViewId="0">
      <selection activeCell="N23" sqref="N23"/>
    </sheetView>
  </sheetViews>
  <sheetFormatPr baseColWidth="10" defaultRowHeight="16" x14ac:dyDescent="0.2"/>
  <cols>
    <col min="2" max="2" width="32" customWidth="1"/>
    <col min="3" max="3" width="39.83203125" customWidth="1"/>
    <col min="5" max="5" width="21.1640625" customWidth="1"/>
    <col min="7" max="7" width="17" customWidth="1"/>
    <col min="9" max="9" width="23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 s="1">
        <v>45754</v>
      </c>
      <c r="E2">
        <v>10</v>
      </c>
      <c r="F2" t="s">
        <v>12</v>
      </c>
      <c r="G2">
        <v>3</v>
      </c>
      <c r="H2">
        <v>30</v>
      </c>
      <c r="I2" t="s">
        <v>13</v>
      </c>
      <c r="J2" t="s">
        <v>14</v>
      </c>
    </row>
    <row r="3" spans="1:10" x14ac:dyDescent="0.2">
      <c r="A3">
        <v>2</v>
      </c>
      <c r="B3" t="s">
        <v>15</v>
      </c>
      <c r="C3" t="s">
        <v>16</v>
      </c>
      <c r="D3" s="1">
        <v>45799</v>
      </c>
      <c r="E3">
        <v>9</v>
      </c>
      <c r="F3" t="s">
        <v>12</v>
      </c>
      <c r="G3">
        <v>3</v>
      </c>
      <c r="H3">
        <v>27</v>
      </c>
      <c r="I3" t="s">
        <v>13</v>
      </c>
      <c r="J3" t="s">
        <v>14</v>
      </c>
    </row>
    <row r="4" spans="1:10" x14ac:dyDescent="0.2">
      <c r="A4">
        <v>3</v>
      </c>
      <c r="B4" t="s">
        <v>17</v>
      </c>
      <c r="C4" t="s">
        <v>18</v>
      </c>
      <c r="D4" s="1">
        <v>46027</v>
      </c>
      <c r="E4">
        <v>7</v>
      </c>
      <c r="F4" t="s">
        <v>12</v>
      </c>
      <c r="G4">
        <v>3</v>
      </c>
      <c r="H4">
        <v>21</v>
      </c>
      <c r="I4" t="s">
        <v>13</v>
      </c>
      <c r="J4" t="s">
        <v>14</v>
      </c>
    </row>
    <row r="5" spans="1:10" x14ac:dyDescent="0.2">
      <c r="A5">
        <v>4</v>
      </c>
      <c r="B5" t="s">
        <v>19</v>
      </c>
      <c r="C5" t="s">
        <v>20</v>
      </c>
      <c r="D5" s="1">
        <v>46223</v>
      </c>
      <c r="E5">
        <v>9</v>
      </c>
      <c r="F5" t="s">
        <v>12</v>
      </c>
      <c r="G5">
        <v>3</v>
      </c>
      <c r="H5">
        <v>27</v>
      </c>
      <c r="I5" t="s">
        <v>13</v>
      </c>
      <c r="J5" t="s">
        <v>14</v>
      </c>
    </row>
    <row r="6" spans="1:10" x14ac:dyDescent="0.2">
      <c r="A6">
        <v>5</v>
      </c>
      <c r="B6" t="s">
        <v>21</v>
      </c>
      <c r="C6" t="s">
        <v>22</v>
      </c>
      <c r="I6" t="s">
        <v>23</v>
      </c>
    </row>
    <row r="7" spans="1:10" x14ac:dyDescent="0.2">
      <c r="A7">
        <v>6</v>
      </c>
      <c r="B7" t="s">
        <v>24</v>
      </c>
      <c r="C7" t="s">
        <v>25</v>
      </c>
      <c r="D7" s="1">
        <v>46142</v>
      </c>
      <c r="E7">
        <v>7</v>
      </c>
      <c r="F7" t="s">
        <v>12</v>
      </c>
      <c r="G7">
        <v>3</v>
      </c>
      <c r="H7">
        <v>21</v>
      </c>
      <c r="I7" t="s">
        <v>13</v>
      </c>
      <c r="J7" t="s">
        <v>14</v>
      </c>
    </row>
    <row r="8" spans="1:10" x14ac:dyDescent="0.2">
      <c r="A8">
        <v>7</v>
      </c>
      <c r="B8" t="s">
        <v>26</v>
      </c>
      <c r="C8" t="s">
        <v>27</v>
      </c>
      <c r="D8" s="1">
        <v>45673</v>
      </c>
      <c r="E8">
        <v>10</v>
      </c>
      <c r="F8" t="s">
        <v>12</v>
      </c>
      <c r="G8">
        <v>3</v>
      </c>
      <c r="H8">
        <v>30</v>
      </c>
      <c r="I8" t="s">
        <v>13</v>
      </c>
      <c r="J8" t="s">
        <v>14</v>
      </c>
    </row>
    <row r="9" spans="1:10" x14ac:dyDescent="0.2">
      <c r="A9">
        <v>8</v>
      </c>
      <c r="B9" t="s">
        <v>28</v>
      </c>
      <c r="C9" t="s">
        <v>29</v>
      </c>
      <c r="D9" s="1">
        <v>45817</v>
      </c>
      <c r="E9">
        <v>8</v>
      </c>
      <c r="F9" t="s">
        <v>12</v>
      </c>
      <c r="G9">
        <v>3</v>
      </c>
      <c r="H9">
        <v>24</v>
      </c>
      <c r="I9" t="s">
        <v>13</v>
      </c>
      <c r="J9" t="s">
        <v>14</v>
      </c>
    </row>
    <row r="10" spans="1:10" x14ac:dyDescent="0.2">
      <c r="A10">
        <v>9</v>
      </c>
      <c r="B10" t="s">
        <v>30</v>
      </c>
      <c r="C10" t="s">
        <v>31</v>
      </c>
      <c r="D10" s="1">
        <v>45740</v>
      </c>
      <c r="E10">
        <v>6</v>
      </c>
      <c r="F10" t="s">
        <v>12</v>
      </c>
      <c r="G10">
        <v>3</v>
      </c>
      <c r="H10">
        <v>18</v>
      </c>
      <c r="I10" t="s">
        <v>13</v>
      </c>
      <c r="J10" t="s">
        <v>14</v>
      </c>
    </row>
    <row r="11" spans="1:10" x14ac:dyDescent="0.2">
      <c r="A11">
        <v>10</v>
      </c>
      <c r="B11" t="s">
        <v>32</v>
      </c>
      <c r="C11" t="s">
        <v>33</v>
      </c>
      <c r="D11" s="1">
        <v>45832</v>
      </c>
      <c r="E11">
        <v>4</v>
      </c>
      <c r="F11" t="s">
        <v>12</v>
      </c>
      <c r="G11">
        <v>3</v>
      </c>
      <c r="H11">
        <v>12</v>
      </c>
      <c r="I11" t="s">
        <v>13</v>
      </c>
      <c r="J11" t="s">
        <v>14</v>
      </c>
    </row>
    <row r="12" spans="1:10" x14ac:dyDescent="0.2">
      <c r="A12">
        <v>11</v>
      </c>
      <c r="B12" t="s">
        <v>34</v>
      </c>
      <c r="C12" t="s">
        <v>35</v>
      </c>
      <c r="D12" s="1">
        <v>46189</v>
      </c>
      <c r="E12">
        <v>8</v>
      </c>
      <c r="F12" t="s">
        <v>12</v>
      </c>
      <c r="G12">
        <v>3</v>
      </c>
      <c r="H12">
        <v>24</v>
      </c>
      <c r="I12" t="s">
        <v>13</v>
      </c>
      <c r="J12" t="s">
        <v>14</v>
      </c>
    </row>
    <row r="13" spans="1:10" x14ac:dyDescent="0.2">
      <c r="A13">
        <v>12</v>
      </c>
      <c r="B13" t="s">
        <v>36</v>
      </c>
      <c r="C13" t="s">
        <v>37</v>
      </c>
      <c r="D13" s="1">
        <v>45904</v>
      </c>
      <c r="E13">
        <v>10</v>
      </c>
      <c r="F13" t="s">
        <v>12</v>
      </c>
      <c r="G13">
        <v>3</v>
      </c>
      <c r="H13">
        <v>30</v>
      </c>
      <c r="I13" t="s">
        <v>13</v>
      </c>
      <c r="J13" t="s">
        <v>14</v>
      </c>
    </row>
    <row r="14" spans="1:10" x14ac:dyDescent="0.2">
      <c r="A14">
        <v>13</v>
      </c>
      <c r="B14">
        <v>606</v>
      </c>
      <c r="C14" t="s">
        <v>38</v>
      </c>
      <c r="D14" s="1">
        <v>45903</v>
      </c>
      <c r="E14">
        <v>2</v>
      </c>
      <c r="F14" t="s">
        <v>12</v>
      </c>
      <c r="G14">
        <v>3</v>
      </c>
      <c r="H14">
        <v>6</v>
      </c>
      <c r="I14" t="s">
        <v>13</v>
      </c>
      <c r="J14" t="s">
        <v>14</v>
      </c>
    </row>
    <row r="15" spans="1:10" x14ac:dyDescent="0.2">
      <c r="A15">
        <v>14</v>
      </c>
      <c r="B15" t="s">
        <v>39</v>
      </c>
      <c r="C15" t="s">
        <v>40</v>
      </c>
      <c r="D15" s="1">
        <v>45820</v>
      </c>
      <c r="E15">
        <v>11</v>
      </c>
      <c r="F15" t="s">
        <v>12</v>
      </c>
      <c r="G15">
        <v>3</v>
      </c>
      <c r="H15">
        <v>33</v>
      </c>
      <c r="I15" t="s">
        <v>13</v>
      </c>
      <c r="J15" t="s">
        <v>14</v>
      </c>
    </row>
    <row r="16" spans="1:10" x14ac:dyDescent="0.2">
      <c r="A16">
        <v>15</v>
      </c>
      <c r="B16" t="s">
        <v>41</v>
      </c>
      <c r="C16" t="s">
        <v>42</v>
      </c>
      <c r="D16" s="1">
        <v>45750</v>
      </c>
      <c r="E16">
        <v>4</v>
      </c>
      <c r="F16" t="s">
        <v>12</v>
      </c>
      <c r="G16">
        <v>3</v>
      </c>
      <c r="H16">
        <v>12</v>
      </c>
      <c r="I16" t="s">
        <v>13</v>
      </c>
      <c r="J16" t="s">
        <v>14</v>
      </c>
    </row>
    <row r="17" spans="1:10" x14ac:dyDescent="0.2">
      <c r="A17">
        <v>16</v>
      </c>
      <c r="B17" t="s">
        <v>43</v>
      </c>
      <c r="C17" t="s">
        <v>44</v>
      </c>
      <c r="D17" s="1">
        <v>46273</v>
      </c>
      <c r="E17">
        <v>1</v>
      </c>
      <c r="F17" t="s">
        <v>45</v>
      </c>
      <c r="G17">
        <v>2</v>
      </c>
      <c r="H17">
        <v>2</v>
      </c>
      <c r="I17" t="s">
        <v>13</v>
      </c>
      <c r="J17" t="s">
        <v>14</v>
      </c>
    </row>
    <row r="18" spans="1:10" x14ac:dyDescent="0.2">
      <c r="A18">
        <v>17</v>
      </c>
      <c r="B18" t="s">
        <v>46</v>
      </c>
      <c r="C18" t="s">
        <v>47</v>
      </c>
      <c r="D18" s="1">
        <v>45762</v>
      </c>
      <c r="E18">
        <v>0</v>
      </c>
      <c r="F18" t="s">
        <v>48</v>
      </c>
      <c r="G18">
        <v>1</v>
      </c>
      <c r="H18">
        <v>0</v>
      </c>
      <c r="I18" t="s">
        <v>13</v>
      </c>
      <c r="J18" t="s">
        <v>14</v>
      </c>
    </row>
    <row r="19" spans="1:10" x14ac:dyDescent="0.2">
      <c r="A19">
        <v>18</v>
      </c>
      <c r="B19" t="s">
        <v>49</v>
      </c>
      <c r="C19" t="s">
        <v>50</v>
      </c>
      <c r="D19" s="1">
        <v>45805</v>
      </c>
      <c r="E19">
        <v>8</v>
      </c>
      <c r="F19" t="s">
        <v>12</v>
      </c>
      <c r="G19">
        <v>3</v>
      </c>
      <c r="H19">
        <v>24</v>
      </c>
      <c r="I19" t="s">
        <v>13</v>
      </c>
      <c r="J19" t="s">
        <v>14</v>
      </c>
    </row>
    <row r="20" spans="1:10" x14ac:dyDescent="0.2">
      <c r="A20">
        <v>19</v>
      </c>
      <c r="B20" t="s">
        <v>51</v>
      </c>
      <c r="C20" t="s">
        <v>52</v>
      </c>
      <c r="D20" s="1">
        <v>46030</v>
      </c>
      <c r="E20">
        <v>7</v>
      </c>
      <c r="F20" t="s">
        <v>12</v>
      </c>
      <c r="G20">
        <v>3</v>
      </c>
      <c r="H20">
        <v>21</v>
      </c>
      <c r="I20" t="s">
        <v>13</v>
      </c>
      <c r="J20" t="s">
        <v>14</v>
      </c>
    </row>
    <row r="21" spans="1:10" x14ac:dyDescent="0.2">
      <c r="A21">
        <v>20</v>
      </c>
      <c r="B21" t="s">
        <v>53</v>
      </c>
      <c r="C21" t="s">
        <v>54</v>
      </c>
      <c r="D21" s="1">
        <v>45713</v>
      </c>
      <c r="E21">
        <v>6</v>
      </c>
      <c r="F21" t="s">
        <v>12</v>
      </c>
      <c r="G21">
        <v>3</v>
      </c>
      <c r="H21">
        <v>18</v>
      </c>
      <c r="I21" t="s">
        <v>13</v>
      </c>
      <c r="J21" t="s">
        <v>14</v>
      </c>
    </row>
    <row r="22" spans="1:10" x14ac:dyDescent="0.2">
      <c r="A22">
        <v>21</v>
      </c>
      <c r="B22" t="s">
        <v>55</v>
      </c>
      <c r="C22" t="s">
        <v>56</v>
      </c>
      <c r="D22" s="1">
        <v>45817</v>
      </c>
      <c r="E22">
        <v>5</v>
      </c>
      <c r="F22" t="s">
        <v>12</v>
      </c>
      <c r="G22">
        <v>3</v>
      </c>
      <c r="H22">
        <v>15</v>
      </c>
      <c r="I22" t="s">
        <v>13</v>
      </c>
      <c r="J22" t="s">
        <v>14</v>
      </c>
    </row>
    <row r="23" spans="1:10" x14ac:dyDescent="0.2">
      <c r="A23">
        <v>22</v>
      </c>
      <c r="B23" t="s">
        <v>57</v>
      </c>
      <c r="C23" t="s">
        <v>58</v>
      </c>
      <c r="I23" t="s">
        <v>23</v>
      </c>
    </row>
    <row r="24" spans="1:10" x14ac:dyDescent="0.2">
      <c r="A24">
        <v>23</v>
      </c>
      <c r="B24" t="s">
        <v>59</v>
      </c>
      <c r="C24" t="s">
        <v>60</v>
      </c>
      <c r="D24" s="1">
        <v>45695</v>
      </c>
      <c r="E24">
        <v>4</v>
      </c>
      <c r="F24" t="s">
        <v>12</v>
      </c>
      <c r="G24">
        <v>3</v>
      </c>
      <c r="H24">
        <v>12</v>
      </c>
      <c r="I24" t="s">
        <v>13</v>
      </c>
      <c r="J24" t="s">
        <v>14</v>
      </c>
    </row>
    <row r="25" spans="1:10" x14ac:dyDescent="0.2">
      <c r="A25">
        <v>24</v>
      </c>
      <c r="B25" t="s">
        <v>61</v>
      </c>
      <c r="C25" t="s">
        <v>62</v>
      </c>
      <c r="D25" s="1">
        <v>45670</v>
      </c>
      <c r="E25">
        <v>1</v>
      </c>
      <c r="F25" t="s">
        <v>12</v>
      </c>
      <c r="G25">
        <v>3</v>
      </c>
      <c r="H25">
        <v>3</v>
      </c>
      <c r="I25" t="s">
        <v>13</v>
      </c>
      <c r="J25" t="s">
        <v>14</v>
      </c>
    </row>
    <row r="26" spans="1:10" x14ac:dyDescent="0.2">
      <c r="A26">
        <v>25</v>
      </c>
      <c r="B26" t="s">
        <v>63</v>
      </c>
      <c r="C26" t="s">
        <v>64</v>
      </c>
      <c r="I26" t="s">
        <v>23</v>
      </c>
    </row>
    <row r="27" spans="1:10" x14ac:dyDescent="0.2">
      <c r="A27">
        <v>26</v>
      </c>
      <c r="B27" t="s">
        <v>65</v>
      </c>
      <c r="C27" t="s">
        <v>66</v>
      </c>
      <c r="D27" s="1">
        <v>45751</v>
      </c>
      <c r="E27">
        <v>5</v>
      </c>
      <c r="F27" t="s">
        <v>12</v>
      </c>
      <c r="G27">
        <v>3</v>
      </c>
      <c r="H27">
        <v>15</v>
      </c>
      <c r="I27" t="s">
        <v>13</v>
      </c>
      <c r="J27" t="s">
        <v>14</v>
      </c>
    </row>
    <row r="28" spans="1:10" x14ac:dyDescent="0.2">
      <c r="A28">
        <v>27</v>
      </c>
      <c r="B28" t="s">
        <v>67</v>
      </c>
      <c r="C28" t="s">
        <v>68</v>
      </c>
      <c r="D28" s="1">
        <v>46135</v>
      </c>
      <c r="E28">
        <v>13</v>
      </c>
      <c r="F28" t="s">
        <v>12</v>
      </c>
      <c r="G28">
        <v>3</v>
      </c>
      <c r="H28">
        <v>39</v>
      </c>
      <c r="I28" t="s">
        <v>13</v>
      </c>
      <c r="J28" t="s">
        <v>14</v>
      </c>
    </row>
    <row r="29" spans="1:10" x14ac:dyDescent="0.2">
      <c r="A29" t="s">
        <v>69</v>
      </c>
      <c r="B29" t="s">
        <v>70</v>
      </c>
      <c r="C29" t="s">
        <v>71</v>
      </c>
      <c r="D29" s="1">
        <v>45741</v>
      </c>
      <c r="E29">
        <v>8</v>
      </c>
      <c r="F29" t="s">
        <v>12</v>
      </c>
      <c r="G29">
        <v>3</v>
      </c>
      <c r="H29">
        <v>24</v>
      </c>
      <c r="I29" t="s">
        <v>72</v>
      </c>
      <c r="J29" t="s">
        <v>73</v>
      </c>
    </row>
    <row r="30" spans="1:10" x14ac:dyDescent="0.2">
      <c r="A30" t="s">
        <v>74</v>
      </c>
      <c r="H30">
        <f>AVERAGE(H2:H29)</f>
        <v>19.52</v>
      </c>
    </row>
    <row r="31" spans="1:10" x14ac:dyDescent="0.2">
      <c r="A31" t="s">
        <v>75</v>
      </c>
      <c r="H31">
        <f>MEDIAN(H2:H29)</f>
        <v>21</v>
      </c>
    </row>
    <row r="32" spans="1:10" x14ac:dyDescent="0.2">
      <c r="A32" t="s">
        <v>76</v>
      </c>
      <c r="H32">
        <f>MODE(H2:H29)</f>
        <v>24</v>
      </c>
    </row>
    <row r="33" spans="1:8" x14ac:dyDescent="0.2">
      <c r="A33" t="s">
        <v>77</v>
      </c>
      <c r="H33">
        <f>MAX(H2:H29)-MIN(H2:H29)</f>
        <v>39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Yang</dc:creator>
  <cp:lastModifiedBy>Matthew Yang</cp:lastModifiedBy>
  <dcterms:created xsi:type="dcterms:W3CDTF">2026-10-29T01:55:48Z</dcterms:created>
  <dcterms:modified xsi:type="dcterms:W3CDTF">2026-10-29T01:55:48Z</dcterms:modified>
</cp:coreProperties>
</file>